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ovarianc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%"/>
    <numFmt numFmtId="166" formatCode="0.000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3"/>
    </font>
    <font>
      <name val="Arial"/>
      <charset val="1"/>
      <family val="0"/>
      <sz val="11"/>
    </font>
    <font>
      <name val="Arial"/>
      <charset val="1"/>
      <family val="0"/>
      <i val="1"/>
      <color rgb="FF80808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08080"/>
      <sz val="9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10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10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7" min="1" max="1"/>
    <col width="16" customWidth="1" style="17" min="2" max="3"/>
    <col width="12" customWidth="1" style="17" min="4" max="4"/>
  </cols>
  <sheetData>
    <row r="1" ht="15" customHeight="1" s="18">
      <c r="A1" s="19" t="inlineStr">
        <is>
          <t>Asset</t>
        </is>
      </c>
      <c r="B1" s="19" t="inlineStr">
        <is>
          <t>Sector</t>
        </is>
      </c>
      <c r="C1" s="19" t="inlineStr">
        <is>
          <t>Expected_Return</t>
        </is>
      </c>
      <c r="D1" s="19" t="inlineStr">
        <is>
          <t>Weight</t>
        </is>
      </c>
    </row>
    <row r="2" ht="15" customHeight="1" s="18">
      <c r="A2" s="20" t="inlineStr">
        <is>
          <t>US_Tech_Equity</t>
        </is>
      </c>
      <c r="B2" s="20" t="inlineStr">
        <is>
          <t>Equity</t>
        </is>
      </c>
      <c r="C2" s="21" t="n">
        <v>0.14</v>
      </c>
      <c r="D2" s="22" t="n">
        <v>0.026238</v>
      </c>
    </row>
    <row r="3" ht="15" customHeight="1" s="18">
      <c r="A3" s="20" t="inlineStr">
        <is>
          <t>US_Healthcare_Equity</t>
        </is>
      </c>
      <c r="B3" s="20" t="inlineStr">
        <is>
          <t>Equity</t>
        </is>
      </c>
      <c r="C3" s="21" t="n">
        <v>0.1</v>
      </c>
      <c r="D3" s="22" t="n">
        <v>0.075198</v>
      </c>
    </row>
    <row r="4" ht="15" customHeight="1" s="18">
      <c r="A4" s="20" t="inlineStr">
        <is>
          <t>US_Financials_Equity</t>
        </is>
      </c>
      <c r="B4" s="20" t="inlineStr">
        <is>
          <t>Equity</t>
        </is>
      </c>
      <c r="C4" s="21" t="n">
        <v>0.09</v>
      </c>
      <c r="D4" s="22" t="n">
        <v>0</v>
      </c>
    </row>
    <row r="5" ht="15" customHeight="1" s="18">
      <c r="A5" s="20" t="inlineStr">
        <is>
          <t>US_Energy_Equity</t>
        </is>
      </c>
      <c r="B5" s="20" t="inlineStr">
        <is>
          <t>Equity</t>
        </is>
      </c>
      <c r="C5" s="21" t="n">
        <v>0.08</v>
      </c>
      <c r="D5" s="22" t="n">
        <v>0</v>
      </c>
    </row>
    <row r="6" ht="15" customHeight="1" s="18">
      <c r="A6" s="20" t="inlineStr">
        <is>
          <t>US_Consumer_Equity</t>
        </is>
      </c>
      <c r="B6" s="20" t="inlineStr">
        <is>
          <t>Equity</t>
        </is>
      </c>
      <c r="C6" s="21" t="n">
        <v>0.095</v>
      </c>
      <c r="D6" s="22" t="n">
        <v>0.151981</v>
      </c>
    </row>
    <row r="7" ht="15" customHeight="1" s="18">
      <c r="A7" s="20" t="inlineStr">
        <is>
          <t>European_Equity</t>
        </is>
      </c>
      <c r="B7" s="20" t="inlineStr">
        <is>
          <t>Equity</t>
        </is>
      </c>
      <c r="C7" s="21" t="n">
        <v>0.075</v>
      </c>
      <c r="D7" s="22" t="n">
        <v>0</v>
      </c>
    </row>
    <row r="8" ht="15" customHeight="1" s="18">
      <c r="A8" s="20" t="inlineStr">
        <is>
          <t>Emerging_Markets_Equity</t>
        </is>
      </c>
      <c r="B8" s="20" t="inlineStr">
        <is>
          <t>Equity</t>
        </is>
      </c>
      <c r="C8" s="21" t="n">
        <v>0.11</v>
      </c>
      <c r="D8" s="22" t="n">
        <v>0.046583</v>
      </c>
    </row>
    <row r="9" ht="15" customHeight="1" s="18">
      <c r="A9" s="20" t="inlineStr">
        <is>
          <t>US_Govt_Bonds</t>
        </is>
      </c>
      <c r="B9" s="20" t="inlineStr">
        <is>
          <t>Fixed Income</t>
        </is>
      </c>
      <c r="C9" s="21" t="n">
        <v>0.035</v>
      </c>
      <c r="D9" s="22" t="n">
        <v>0.25</v>
      </c>
    </row>
    <row r="10" ht="15" customHeight="1" s="18">
      <c r="A10" s="20" t="inlineStr">
        <is>
          <t>US_Corporate_Bonds</t>
        </is>
      </c>
      <c r="B10" s="20" t="inlineStr">
        <is>
          <t>Fixed Income</t>
        </is>
      </c>
      <c r="C10" s="21" t="n">
        <v>0.045</v>
      </c>
      <c r="D10" s="22" t="n">
        <v>0.248927</v>
      </c>
    </row>
    <row r="11" ht="15" customHeight="1" s="18">
      <c r="A11" s="20" t="inlineStr">
        <is>
          <t>Global_Bonds</t>
        </is>
      </c>
      <c r="B11" s="20" t="inlineStr">
        <is>
          <t>Fixed Income</t>
        </is>
      </c>
      <c r="C11" s="21" t="n">
        <v>0.03</v>
      </c>
      <c r="D11" s="22" t="n">
        <v>0</v>
      </c>
    </row>
    <row r="12" ht="15" customHeight="1" s="18">
      <c r="A12" s="20" t="inlineStr">
        <is>
          <t>REIT</t>
        </is>
      </c>
      <c r="B12" s="20" t="inlineStr">
        <is>
          <t>Alternatives</t>
        </is>
      </c>
      <c r="C12" s="21" t="n">
        <v>0.08</v>
      </c>
      <c r="D12" s="22" t="n">
        <v>0</v>
      </c>
    </row>
    <row r="13" ht="15" customHeight="1" s="18">
      <c r="A13" s="20" t="inlineStr">
        <is>
          <t>Gold</t>
        </is>
      </c>
      <c r="B13" s="20" t="inlineStr">
        <is>
          <t>Alternatives</t>
        </is>
      </c>
      <c r="C13" s="21" t="n">
        <v>0.05</v>
      </c>
      <c r="D13" s="22" t="n">
        <v>0.08397499999999999</v>
      </c>
    </row>
    <row r="14" ht="15" customHeight="1" s="18">
      <c r="A14" s="20" t="inlineStr">
        <is>
          <t>Commodities</t>
        </is>
      </c>
      <c r="B14" s="20" t="inlineStr">
        <is>
          <t>Alternatives</t>
        </is>
      </c>
      <c r="C14" s="21" t="n">
        <v>0.06</v>
      </c>
      <c r="D14" s="22" t="n">
        <v>0</v>
      </c>
    </row>
    <row r="15" ht="15" customHeight="1" s="18">
      <c r="A15" s="20" t="inlineStr">
        <is>
          <t>Money_Market</t>
        </is>
      </c>
      <c r="B15" s="20" t="inlineStr">
        <is>
          <t>Cash</t>
        </is>
      </c>
      <c r="C15" s="21" t="n">
        <v>0.02</v>
      </c>
      <c r="D15" s="22" t="n">
        <v>0.117098</v>
      </c>
    </row>
    <row r="17" ht="15" customHeight="1" s="18">
      <c r="A17" s="23" t="inlineStr">
        <is>
          <t>Sum of Weights (must = 100%)</t>
        </is>
      </c>
      <c r="D17" s="24">
        <f>SUM(D2:D15)</f>
        <v/>
      </c>
    </row>
    <row r="18" ht="15" customHeight="1" s="18">
      <c r="A18" s="23" t="inlineStr">
        <is>
          <t>Portfolio Expected Return</t>
        </is>
      </c>
      <c r="D18" s="24">
        <f>SUMPRODUCT(C2:C15,D2:D15)</f>
        <v/>
      </c>
    </row>
    <row r="19" ht="15" customHeight="1" s="18">
      <c r="A19" s="23" t="inlineStr">
        <is>
          <t>Portfolio Volatility (see Covariance sheet)</t>
        </is>
      </c>
      <c r="D19" s="24">
        <f>Covariance!B1</f>
        <v/>
      </c>
    </row>
    <row r="20" ht="15" customHeight="1" s="18">
      <c r="A20" s="23" t="inlineStr">
        <is>
          <t>Sharpe Ratio (risk-free = 2%)</t>
        </is>
      </c>
      <c r="D20" s="25">
        <f>(D18-0.02)/D19</f>
        <v/>
      </c>
    </row>
    <row r="22" ht="15" customHeight="1" s="18">
      <c r="A22" s="23" t="inlineStr">
        <is>
          <t>Sector Totals</t>
        </is>
      </c>
    </row>
    <row r="23" ht="15" customHeight="1" s="18">
      <c r="A23" s="20" t="inlineStr">
        <is>
          <t>Equity</t>
        </is>
      </c>
      <c r="D23" s="21">
        <f>SUMIF(B2:B15,A23,D2:D15)</f>
        <v/>
      </c>
    </row>
    <row r="24" ht="15" customHeight="1" s="18">
      <c r="A24" s="20" t="inlineStr">
        <is>
          <t>Fixed Income</t>
        </is>
      </c>
      <c r="D24" s="21">
        <f>SUMIF(B2:B15,A24,D2:D15)</f>
        <v/>
      </c>
    </row>
    <row r="25" ht="15" customHeight="1" s="18">
      <c r="A25" s="20" t="inlineStr">
        <is>
          <t>Alternatives</t>
        </is>
      </c>
      <c r="D25" s="21">
        <f>SUMIF(B2:B15,A25,D2:D15)</f>
        <v/>
      </c>
    </row>
    <row r="26" ht="15" customHeight="1" s="18">
      <c r="A26" s="20" t="inlineStr">
        <is>
          <t>Cash</t>
        </is>
      </c>
      <c r="D26" s="21">
        <f>SUMIF(B2:B15,A26,D2:D15)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7" min="1" max="18"/>
  </cols>
  <sheetData>
    <row r="1" ht="15" customHeight="1" s="18">
      <c r="A1" s="23" t="inlineStr">
        <is>
          <t>Portfolio Volatility (annualized)</t>
        </is>
      </c>
      <c r="B1" s="26">
        <f>SQRT(B2)</f>
        <v/>
      </c>
    </row>
    <row r="2" ht="15" customHeight="1" s="18">
      <c r="A2" s="23" t="inlineStr">
        <is>
          <t>Portfolio Variance</t>
        </is>
      </c>
      <c r="B2" s="27">
        <f>SUMPRODUCT(Assets!$D$2:$D$15,R6:R19)</f>
        <v/>
      </c>
    </row>
    <row r="4" ht="15" customHeight="1" s="18">
      <c r="B4" s="28" t="inlineStr">
        <is>
          <t>Weights (mirrored) -&gt;</t>
        </is>
      </c>
      <c r="C4" s="21">
        <f>Assets!D2</f>
        <v/>
      </c>
      <c r="D4" s="21">
        <f>Assets!D3</f>
        <v/>
      </c>
      <c r="E4" s="21">
        <f>Assets!D4</f>
        <v/>
      </c>
      <c r="F4" s="21">
        <f>Assets!D5</f>
        <v/>
      </c>
      <c r="G4" s="21">
        <f>Assets!D6</f>
        <v/>
      </c>
      <c r="H4" s="21">
        <f>Assets!D7</f>
        <v/>
      </c>
      <c r="I4" s="21">
        <f>Assets!D8</f>
        <v/>
      </c>
      <c r="J4" s="21">
        <f>Assets!D9</f>
        <v/>
      </c>
      <c r="K4" s="21">
        <f>Assets!D10</f>
        <v/>
      </c>
      <c r="L4" s="21">
        <f>Assets!D11</f>
        <v/>
      </c>
      <c r="M4" s="21">
        <f>Assets!D12</f>
        <v/>
      </c>
      <c r="N4" s="21">
        <f>Assets!D13</f>
        <v/>
      </c>
      <c r="O4" s="21">
        <f>Assets!D14</f>
        <v/>
      </c>
      <c r="P4" s="21">
        <f>Assets!D15</f>
        <v/>
      </c>
    </row>
    <row r="5" ht="15" customHeight="1" s="18">
      <c r="B5" s="29" t="inlineStr">
        <is>
          <t>Cov Matrix -&gt;</t>
        </is>
      </c>
      <c r="C5" s="19" t="inlineStr">
        <is>
          <t>US_Tech_Equity</t>
        </is>
      </c>
      <c r="D5" s="19" t="inlineStr">
        <is>
          <t>US_Healthcare_Equity</t>
        </is>
      </c>
      <c r="E5" s="19" t="inlineStr">
        <is>
          <t>US_Financials_Equity</t>
        </is>
      </c>
      <c r="F5" s="19" t="inlineStr">
        <is>
          <t>US_Energy_Equity</t>
        </is>
      </c>
      <c r="G5" s="19" t="inlineStr">
        <is>
          <t>US_Consumer_Equity</t>
        </is>
      </c>
      <c r="H5" s="19" t="inlineStr">
        <is>
          <t>European_Equity</t>
        </is>
      </c>
      <c r="I5" s="19" t="inlineStr">
        <is>
          <t>Emerging_Markets_Equity</t>
        </is>
      </c>
      <c r="J5" s="19" t="inlineStr">
        <is>
          <t>US_Govt_Bonds</t>
        </is>
      </c>
      <c r="K5" s="19" t="inlineStr">
        <is>
          <t>US_Corporate_Bonds</t>
        </is>
      </c>
      <c r="L5" s="19" t="inlineStr">
        <is>
          <t>Global_Bonds</t>
        </is>
      </c>
      <c r="M5" s="19" t="inlineStr">
        <is>
          <t>REIT</t>
        </is>
      </c>
      <c r="N5" s="19" t="inlineStr">
        <is>
          <t>Gold</t>
        </is>
      </c>
      <c r="O5" s="19" t="inlineStr">
        <is>
          <t>Commodities</t>
        </is>
      </c>
      <c r="P5" s="19" t="inlineStr">
        <is>
          <t>Money_Market</t>
        </is>
      </c>
      <c r="R5" s="19" t="inlineStr">
        <is>
          <t>Weighted Cov Row Sum</t>
        </is>
      </c>
    </row>
    <row r="6" ht="15" customHeight="1" s="18">
      <c r="B6" s="19" t="inlineStr">
        <is>
          <t>US_Tech_Equity</t>
        </is>
      </c>
      <c r="C6" s="30" t="n">
        <v>0.0652400529325536</v>
      </c>
      <c r="D6" s="30" t="n">
        <v>0.020956756596794</v>
      </c>
      <c r="E6" s="30" t="n">
        <v>0.0380428622771103</v>
      </c>
      <c r="F6" s="30" t="n">
        <v>0.0493155661821064</v>
      </c>
      <c r="G6" s="30" t="n">
        <v>0.023113086435548</v>
      </c>
      <c r="H6" s="30" t="n">
        <v>0.0275570147130103</v>
      </c>
      <c r="I6" s="30" t="n">
        <v>0.0319718525154993</v>
      </c>
      <c r="J6" s="30" t="n">
        <v>-0.00130144889869266</v>
      </c>
      <c r="K6" s="30" t="n">
        <v>0.000878553354801</v>
      </c>
      <c r="L6" s="30" t="n">
        <v>-0.0021386855228868</v>
      </c>
      <c r="M6" s="30" t="n">
        <v>0.0167542162729229</v>
      </c>
      <c r="N6" s="30" t="n">
        <v>-0.00299670257650926</v>
      </c>
      <c r="O6" s="30" t="n">
        <v>0.024266459539661</v>
      </c>
      <c r="P6" s="30" t="n">
        <v>-0.000119620026821492</v>
      </c>
      <c r="R6" s="30">
        <f>SUMPRODUCT($C$4:$P$4,C6:P6)</f>
        <v/>
      </c>
    </row>
    <row r="7" ht="15" customHeight="1" s="18">
      <c r="B7" s="19" t="inlineStr">
        <is>
          <t>US_Healthcare_Equity</t>
        </is>
      </c>
      <c r="C7" s="30" t="n">
        <v>0.020956756596794</v>
      </c>
      <c r="D7" s="30" t="n">
        <v>0.0215418285531857</v>
      </c>
      <c r="E7" s="30" t="n">
        <v>0.0186331023938293</v>
      </c>
      <c r="F7" s="30" t="n">
        <v>0.0261294699180704</v>
      </c>
      <c r="G7" s="30" t="n">
        <v>0.0136068252738309</v>
      </c>
      <c r="H7" s="30" t="n">
        <v>0.0153600281936439</v>
      </c>
      <c r="I7" s="30" t="n">
        <v>0.0179100459843169</v>
      </c>
      <c r="J7" s="30" t="n">
        <v>0.000176477702097219</v>
      </c>
      <c r="K7" s="30" t="n">
        <v>9.13310604791992e-05</v>
      </c>
      <c r="L7" s="30" t="n">
        <v>0.000530229576612909</v>
      </c>
      <c r="M7" s="30" t="n">
        <v>0.0121640250129167</v>
      </c>
      <c r="N7" s="30" t="n">
        <v>0.00210465960351472</v>
      </c>
      <c r="O7" s="30" t="n">
        <v>0.0105990516954269</v>
      </c>
      <c r="P7" s="30" t="n">
        <v>2.845319939212e-05</v>
      </c>
      <c r="R7" s="30">
        <f>SUMPRODUCT($C$4:$P$4,C7:P7)</f>
        <v/>
      </c>
    </row>
    <row r="8" ht="15" customHeight="1" s="18">
      <c r="B8" s="19" t="inlineStr">
        <is>
          <t>US_Financials_Equity</t>
        </is>
      </c>
      <c r="C8" s="30" t="n">
        <v>0.0380428622771103</v>
      </c>
      <c r="D8" s="30" t="n">
        <v>0.0186331023938293</v>
      </c>
      <c r="E8" s="30" t="n">
        <v>0.0378073484351159</v>
      </c>
      <c r="F8" s="30" t="n">
        <v>0.038271183296393</v>
      </c>
      <c r="G8" s="30" t="n">
        <v>0.01748326101527</v>
      </c>
      <c r="H8" s="30" t="n">
        <v>0.023032019864278</v>
      </c>
      <c r="I8" s="30" t="n">
        <v>0.027645238334922</v>
      </c>
      <c r="J8" s="30" t="n">
        <v>-0.00121257530289772</v>
      </c>
      <c r="K8" s="30" t="n">
        <v>-5.9842097122903e-05</v>
      </c>
      <c r="L8" s="30" t="n">
        <v>-0.000953022396621436</v>
      </c>
      <c r="M8" s="30" t="n">
        <v>0.0142878432307509</v>
      </c>
      <c r="N8" s="30" t="n">
        <v>0.00168231384535094</v>
      </c>
      <c r="O8" s="30" t="n">
        <v>0.00996900562480304</v>
      </c>
      <c r="P8" s="30" t="n">
        <v>1.47891843016889e-05</v>
      </c>
      <c r="R8" s="30">
        <f>SUMPRODUCT($C$4:$P$4,C8:P8)</f>
        <v/>
      </c>
    </row>
    <row r="9" ht="15" customHeight="1" s="18">
      <c r="B9" s="19" t="inlineStr">
        <is>
          <t>US_Energy_Equity</t>
        </is>
      </c>
      <c r="C9" s="30" t="n">
        <v>0.0493155661821064</v>
      </c>
      <c r="D9" s="30" t="n">
        <v>0.0261294699180704</v>
      </c>
      <c r="E9" s="30" t="n">
        <v>0.038271183296393</v>
      </c>
      <c r="F9" s="30" t="n">
        <v>0.0798578431910498</v>
      </c>
      <c r="G9" s="30" t="n">
        <v>0.0253078926180202</v>
      </c>
      <c r="H9" s="30" t="n">
        <v>0.0284809367129111</v>
      </c>
      <c r="I9" s="30" t="n">
        <v>0.0388821603263287</v>
      </c>
      <c r="J9" s="30" t="n">
        <v>0.000113865216478724</v>
      </c>
      <c r="K9" s="30" t="n">
        <v>-0.00134217612990946</v>
      </c>
      <c r="L9" s="30" t="n">
        <v>-0.00110239209067688</v>
      </c>
      <c r="M9" s="30" t="n">
        <v>0.0217600444379658</v>
      </c>
      <c r="N9" s="30" t="n">
        <v>0.003678802634721</v>
      </c>
      <c r="O9" s="30" t="n">
        <v>0.0220899219016858</v>
      </c>
      <c r="P9" s="30" t="n">
        <v>-0.000130818357661922</v>
      </c>
      <c r="R9" s="30">
        <f>SUMPRODUCT($C$4:$P$4,C9:P9)</f>
        <v/>
      </c>
    </row>
    <row r="10" ht="15" customHeight="1" s="18">
      <c r="B10" s="19" t="inlineStr">
        <is>
          <t>US_Consumer_Equity</t>
        </is>
      </c>
      <c r="C10" s="30" t="n">
        <v>0.023113086435548</v>
      </c>
      <c r="D10" s="30" t="n">
        <v>0.0136068252738309</v>
      </c>
      <c r="E10" s="30" t="n">
        <v>0.01748326101527</v>
      </c>
      <c r="F10" s="30" t="n">
        <v>0.0253078926180202</v>
      </c>
      <c r="G10" s="30" t="n">
        <v>0.0193310570935338</v>
      </c>
      <c r="H10" s="30" t="n">
        <v>0.0154656824992326</v>
      </c>
      <c r="I10" s="30" t="n">
        <v>0.0178376897739046</v>
      </c>
      <c r="J10" s="30" t="n">
        <v>-0.00132722944822033</v>
      </c>
      <c r="K10" s="30" t="n">
        <v>-0.00186894552678194</v>
      </c>
      <c r="L10" s="30" t="n">
        <v>-0.000733289468462326</v>
      </c>
      <c r="M10" s="30" t="n">
        <v>0.008492171674406581</v>
      </c>
      <c r="N10" s="30" t="n">
        <v>0.00467272577051507</v>
      </c>
      <c r="O10" s="30" t="n">
        <v>0.00658239894516388</v>
      </c>
      <c r="P10" s="30" t="n">
        <v>-9.17579151925338e-06</v>
      </c>
      <c r="R10" s="30">
        <f>SUMPRODUCT($C$4:$P$4,C10:P10)</f>
        <v/>
      </c>
    </row>
    <row r="11" ht="15" customHeight="1" s="18">
      <c r="B11" s="19" t="inlineStr">
        <is>
          <t>European_Equity</t>
        </is>
      </c>
      <c r="C11" s="30" t="n">
        <v>0.0275570147130103</v>
      </c>
      <c r="D11" s="30" t="n">
        <v>0.0153600281936439</v>
      </c>
      <c r="E11" s="30" t="n">
        <v>0.023032019864278</v>
      </c>
      <c r="F11" s="30" t="n">
        <v>0.0284809367129111</v>
      </c>
      <c r="G11" s="30" t="n">
        <v>0.0154656824992326</v>
      </c>
      <c r="H11" s="30" t="n">
        <v>0.0304134399441193</v>
      </c>
      <c r="I11" s="30" t="n">
        <v>0.0222245941510764</v>
      </c>
      <c r="J11" s="30" t="n">
        <v>-0.00118635494571156</v>
      </c>
      <c r="K11" s="30" t="n">
        <v>-0.00464454083520859</v>
      </c>
      <c r="L11" s="30" t="n">
        <v>-0.00165856968386399</v>
      </c>
      <c r="M11" s="30" t="n">
        <v>0.00965717049544149</v>
      </c>
      <c r="N11" s="30" t="n">
        <v>-0.000593358223447945</v>
      </c>
      <c r="O11" s="30" t="n">
        <v>0.0141631847238146</v>
      </c>
      <c r="P11" s="30" t="n">
        <v>-9.12586022874097e-05</v>
      </c>
      <c r="R11" s="30">
        <f>SUMPRODUCT($C$4:$P$4,C11:P11)</f>
        <v/>
      </c>
    </row>
    <row r="12" ht="15" customHeight="1" s="18">
      <c r="B12" s="19" t="inlineStr">
        <is>
          <t>Emerging_Markets_Equity</t>
        </is>
      </c>
      <c r="C12" s="30" t="n">
        <v>0.0319718525154993</v>
      </c>
      <c r="D12" s="30" t="n">
        <v>0.0179100459843169</v>
      </c>
      <c r="E12" s="30" t="n">
        <v>0.027645238334922</v>
      </c>
      <c r="F12" s="30" t="n">
        <v>0.0388821603263287</v>
      </c>
      <c r="G12" s="30" t="n">
        <v>0.0178376897739046</v>
      </c>
      <c r="H12" s="30" t="n">
        <v>0.0222245941510764</v>
      </c>
      <c r="I12" s="30" t="n">
        <v>0.0570196917954898</v>
      </c>
      <c r="J12" s="30" t="n">
        <v>-0.0046963649520442</v>
      </c>
      <c r="K12" s="30" t="n">
        <v>-0.00414645596928884</v>
      </c>
      <c r="L12" s="30" t="n">
        <v>-0.00422969145722539</v>
      </c>
      <c r="M12" s="30" t="n">
        <v>0.0115580858777167</v>
      </c>
      <c r="N12" s="30" t="n">
        <v>0.00727472159192331</v>
      </c>
      <c r="O12" s="30" t="n">
        <v>0.0177284017705287</v>
      </c>
      <c r="P12" s="30" t="n">
        <v>5.14635706703696e-05</v>
      </c>
      <c r="R12" s="30">
        <f>SUMPRODUCT($C$4:$P$4,C12:P12)</f>
        <v/>
      </c>
    </row>
    <row r="13" ht="15" customHeight="1" s="18">
      <c r="B13" s="19" t="inlineStr">
        <is>
          <t>US_Govt_Bonds</t>
        </is>
      </c>
      <c r="C13" s="30" t="n">
        <v>-0.00130144889869266</v>
      </c>
      <c r="D13" s="30" t="n">
        <v>0.000176477702097219</v>
      </c>
      <c r="E13" s="30" t="n">
        <v>-0.00121257530289772</v>
      </c>
      <c r="F13" s="30" t="n">
        <v>0.000113865216478724</v>
      </c>
      <c r="G13" s="30" t="n">
        <v>-0.00132722944822033</v>
      </c>
      <c r="H13" s="30" t="n">
        <v>-0.00118635494571156</v>
      </c>
      <c r="I13" s="30" t="n">
        <v>-0.0046963649520442</v>
      </c>
      <c r="J13" s="30" t="n">
        <v>0.00287888038318823</v>
      </c>
      <c r="K13" s="30" t="n">
        <v>0.00232145946373336</v>
      </c>
      <c r="L13" s="30" t="n">
        <v>0.00243741247117883</v>
      </c>
      <c r="M13" s="30" t="n">
        <v>0.0017147809857449</v>
      </c>
      <c r="N13" s="30" t="n">
        <v>-0.000801244096267154</v>
      </c>
      <c r="O13" s="30" t="n">
        <v>0.00287509943527929</v>
      </c>
      <c r="P13" s="30" t="n">
        <v>1.20172490285458e-05</v>
      </c>
      <c r="R13" s="30">
        <f>SUMPRODUCT($C$4:$P$4,C13:P13)</f>
        <v/>
      </c>
    </row>
    <row r="14" ht="15" customHeight="1" s="18">
      <c r="B14" s="19" t="inlineStr">
        <is>
          <t>US_Corporate_Bonds</t>
        </is>
      </c>
      <c r="C14" s="30" t="n">
        <v>0.000878553354801</v>
      </c>
      <c r="D14" s="30" t="n">
        <v>9.13310604791992e-05</v>
      </c>
      <c r="E14" s="30" t="n">
        <v>-5.9842097122903e-05</v>
      </c>
      <c r="F14" s="30" t="n">
        <v>-0.00134217612990946</v>
      </c>
      <c r="G14" s="30" t="n">
        <v>-0.00186894552678194</v>
      </c>
      <c r="H14" s="30" t="n">
        <v>-0.00464454083520859</v>
      </c>
      <c r="I14" s="30" t="n">
        <v>-0.00414645596928884</v>
      </c>
      <c r="J14" s="30" t="n">
        <v>0.00232145946373336</v>
      </c>
      <c r="K14" s="30" t="n">
        <v>0.00668798405108551</v>
      </c>
      <c r="L14" s="30" t="n">
        <v>0.0039008949871816</v>
      </c>
      <c r="M14" s="30" t="n">
        <v>0.00207143075109002</v>
      </c>
      <c r="N14" s="30" t="n">
        <v>-0.00179639513028152</v>
      </c>
      <c r="O14" s="30" t="n">
        <v>0.00404143000481108</v>
      </c>
      <c r="P14" s="30" t="n">
        <v>2.70165478769813e-05</v>
      </c>
      <c r="R14" s="30">
        <f>SUMPRODUCT($C$4:$P$4,C14:P14)</f>
        <v/>
      </c>
    </row>
    <row r="15" ht="15" customHeight="1" s="18">
      <c r="B15" s="19" t="inlineStr">
        <is>
          <t>Global_Bonds</t>
        </is>
      </c>
      <c r="C15" s="30" t="n">
        <v>-0.0021386855228868</v>
      </c>
      <c r="D15" s="30" t="n">
        <v>0.000530229576612909</v>
      </c>
      <c r="E15" s="30" t="n">
        <v>-0.000953022396621436</v>
      </c>
      <c r="F15" s="30" t="n">
        <v>-0.00110239209067688</v>
      </c>
      <c r="G15" s="30" t="n">
        <v>-0.000733289468462326</v>
      </c>
      <c r="H15" s="30" t="n">
        <v>-0.00165856968386399</v>
      </c>
      <c r="I15" s="30" t="n">
        <v>-0.00422969145722539</v>
      </c>
      <c r="J15" s="30" t="n">
        <v>0.00243741247117883</v>
      </c>
      <c r="K15" s="30" t="n">
        <v>0.0039008949871816</v>
      </c>
      <c r="L15" s="30" t="n">
        <v>0.00566077183655096</v>
      </c>
      <c r="M15" s="30" t="n">
        <v>0.00333252246250146</v>
      </c>
      <c r="N15" s="30" t="n">
        <v>-0.0013564875247258</v>
      </c>
      <c r="O15" s="30" t="n">
        <v>0.00297158599100442</v>
      </c>
      <c r="P15" s="30" t="n">
        <v>2.00758066180861e-05</v>
      </c>
      <c r="R15" s="30">
        <f>SUMPRODUCT($C$4:$P$4,C15:P15)</f>
        <v/>
      </c>
    </row>
    <row r="16" ht="15" customHeight="1" s="18">
      <c r="B16" s="19" t="inlineStr">
        <is>
          <t>REIT</t>
        </is>
      </c>
      <c r="C16" s="30" t="n">
        <v>0.0167542162729229</v>
      </c>
      <c r="D16" s="30" t="n">
        <v>0.0121640250129167</v>
      </c>
      <c r="E16" s="30" t="n">
        <v>0.0142878432307509</v>
      </c>
      <c r="F16" s="30" t="n">
        <v>0.0217600444379658</v>
      </c>
      <c r="G16" s="30" t="n">
        <v>0.008492171674406581</v>
      </c>
      <c r="H16" s="30" t="n">
        <v>0.00965717049544149</v>
      </c>
      <c r="I16" s="30" t="n">
        <v>0.0115580858777167</v>
      </c>
      <c r="J16" s="30" t="n">
        <v>0.0017147809857449</v>
      </c>
      <c r="K16" s="30" t="n">
        <v>0.00207143075109002</v>
      </c>
      <c r="L16" s="30" t="n">
        <v>0.00333252246250146</v>
      </c>
      <c r="M16" s="30" t="n">
        <v>0.0270097836254089</v>
      </c>
      <c r="N16" s="30" t="n">
        <v>0.000848350091828241</v>
      </c>
      <c r="O16" s="30" t="n">
        <v>0.00675864294685448</v>
      </c>
      <c r="P16" s="30" t="n">
        <v>6.09236183641248e-05</v>
      </c>
      <c r="R16" s="30">
        <f>SUMPRODUCT($C$4:$P$4,C16:P16)</f>
        <v/>
      </c>
    </row>
    <row r="17" ht="15" customHeight="1" s="18">
      <c r="B17" s="19" t="inlineStr">
        <is>
          <t>Gold</t>
        </is>
      </c>
      <c r="C17" s="30" t="n">
        <v>-0.00299670257650926</v>
      </c>
      <c r="D17" s="30" t="n">
        <v>0.00210465960351472</v>
      </c>
      <c r="E17" s="30" t="n">
        <v>0.00168231384535094</v>
      </c>
      <c r="F17" s="30" t="n">
        <v>0.003678802634721</v>
      </c>
      <c r="G17" s="30" t="n">
        <v>0.00467272577051507</v>
      </c>
      <c r="H17" s="30" t="n">
        <v>-0.000593358223447945</v>
      </c>
      <c r="I17" s="30" t="n">
        <v>0.00727472159192331</v>
      </c>
      <c r="J17" s="30" t="n">
        <v>-0.000801244096267154</v>
      </c>
      <c r="K17" s="30" t="n">
        <v>-0.00179639513028152</v>
      </c>
      <c r="L17" s="30" t="n">
        <v>-0.0013564875247258</v>
      </c>
      <c r="M17" s="30" t="n">
        <v>0.000848350091828241</v>
      </c>
      <c r="N17" s="30" t="n">
        <v>0.0175541269739014</v>
      </c>
      <c r="O17" s="30" t="n">
        <v>0.00115237632503039</v>
      </c>
      <c r="P17" s="30" t="n">
        <v>0.000172167509145999</v>
      </c>
      <c r="R17" s="30">
        <f>SUMPRODUCT($C$4:$P$4,C17:P17)</f>
        <v/>
      </c>
    </row>
    <row r="18" ht="15" customHeight="1" s="18">
      <c r="B18" s="19" t="inlineStr">
        <is>
          <t>Commodities</t>
        </is>
      </c>
      <c r="C18" s="30" t="n">
        <v>0.024266459539661</v>
      </c>
      <c r="D18" s="30" t="n">
        <v>0.0105990516954269</v>
      </c>
      <c r="E18" s="30" t="n">
        <v>0.00996900562480304</v>
      </c>
      <c r="F18" s="30" t="n">
        <v>0.0220899219016858</v>
      </c>
      <c r="G18" s="30" t="n">
        <v>0.00658239894516388</v>
      </c>
      <c r="H18" s="30" t="n">
        <v>0.0141631847238146</v>
      </c>
      <c r="I18" s="30" t="n">
        <v>0.0177284017705287</v>
      </c>
      <c r="J18" s="30" t="n">
        <v>0.00287509943527929</v>
      </c>
      <c r="K18" s="30" t="n">
        <v>0.00404143000481108</v>
      </c>
      <c r="L18" s="30" t="n">
        <v>0.00297158599100442</v>
      </c>
      <c r="M18" s="30" t="n">
        <v>0.00675864294685448</v>
      </c>
      <c r="N18" s="30" t="n">
        <v>0.00115237632503039</v>
      </c>
      <c r="O18" s="30" t="n">
        <v>0.0645743207450192</v>
      </c>
      <c r="P18" s="30" t="n">
        <v>-0.000136898671300771</v>
      </c>
      <c r="R18" s="30">
        <f>SUMPRODUCT($C$4:$P$4,C18:P18)</f>
        <v/>
      </c>
    </row>
    <row r="19" ht="15" customHeight="1" s="18">
      <c r="B19" s="19" t="inlineStr">
        <is>
          <t>Money_Market</t>
        </is>
      </c>
      <c r="C19" s="30" t="n">
        <v>-0.000119620026821492</v>
      </c>
      <c r="D19" s="30" t="n">
        <v>2.845319939212e-05</v>
      </c>
      <c r="E19" s="30" t="n">
        <v>1.47891843016889e-05</v>
      </c>
      <c r="F19" s="30" t="n">
        <v>-0.000130818357661922</v>
      </c>
      <c r="G19" s="30" t="n">
        <v>-9.17579151925338e-06</v>
      </c>
      <c r="H19" s="30" t="n">
        <v>-9.12586022874097e-05</v>
      </c>
      <c r="I19" s="30" t="n">
        <v>5.14635706703696e-05</v>
      </c>
      <c r="J19" s="30" t="n">
        <v>1.20172490285458e-05</v>
      </c>
      <c r="K19" s="30" t="n">
        <v>2.70165478769813e-05</v>
      </c>
      <c r="L19" s="30" t="n">
        <v>2.00758066180861e-05</v>
      </c>
      <c r="M19" s="30" t="n">
        <v>6.09236183641248e-05</v>
      </c>
      <c r="N19" s="30" t="n">
        <v>0.000172167509145999</v>
      </c>
      <c r="O19" s="30" t="n">
        <v>-0.000136898671300771</v>
      </c>
      <c r="P19" s="30" t="n">
        <v>2.79013072070289e-05</v>
      </c>
      <c r="R19" s="30">
        <f>SUMPRODUCT($C$4:$P$4,C19:P19)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2026-07-08T22:27:26Z</dcterms:created>
  <dcterms:modified xmlns:dcterms="http://purl.org/dc/terms/" xmlns:xsi="http://www.w3.org/2001/XMLSchema-instance" xsi:type="dcterms:W3CDTF">2026-07-12T14:58:49Z</dcterms:modified>
  <cp:revision>0</cp:revision>
</cp:coreProperties>
</file>